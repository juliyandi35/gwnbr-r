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elesai\GWNBR DL RStudio Sabtu\"/>
    </mc:Choice>
  </mc:AlternateContent>
  <xr:revisionPtr revIDLastSave="0" documentId="13_ncr:40009_{949FDD0A-3B11-40D9-9D23-3F88E302B1D1}" xr6:coauthVersionLast="47" xr6:coauthVersionMax="47" xr10:uidLastSave="{00000000-0000-0000-0000-000000000000}"/>
  <bookViews>
    <workbookView xWindow="-90" yWindow="0" windowWidth="9780" windowHeight="10170"/>
  </bookViews>
  <sheets>
    <sheet name="koefisienF1" sheetId="1" r:id="rId1"/>
  </sheets>
  <calcPr calcId="191029"/>
</workbook>
</file>

<file path=xl/calcChain.xml><?xml version="1.0" encoding="utf-8"?>
<calcChain xmlns="http://schemas.openxmlformats.org/spreadsheetml/2006/main">
  <c r="K39" i="1" l="1"/>
  <c r="J39" i="1"/>
  <c r="I39" i="1"/>
  <c r="H39" i="1"/>
  <c r="G39" i="1"/>
  <c r="F39" i="1"/>
  <c r="E39" i="1"/>
  <c r="D39" i="1"/>
  <c r="Q38" i="1"/>
  <c r="O38" i="1"/>
  <c r="M38" i="1"/>
  <c r="K38" i="1"/>
  <c r="I38" i="1"/>
  <c r="G38" i="1"/>
  <c r="E38" i="1"/>
  <c r="R38" i="1"/>
  <c r="P38" i="1"/>
  <c r="N38" i="1"/>
  <c r="L38" i="1"/>
  <c r="J38" i="1"/>
  <c r="F38" i="1"/>
  <c r="H38" i="1"/>
  <c r="D38" i="1"/>
</calcChain>
</file>

<file path=xl/sharedStrings.xml><?xml version="1.0" encoding="utf-8"?>
<sst xmlns="http://schemas.openxmlformats.org/spreadsheetml/2006/main" count="18" uniqueCount="18">
  <si>
    <t>V1</t>
  </si>
  <si>
    <t>V2</t>
  </si>
  <si>
    <t>V3</t>
  </si>
  <si>
    <t>V4</t>
  </si>
  <si>
    <t>V5</t>
  </si>
  <si>
    <t>V6</t>
  </si>
  <si>
    <t>V7</t>
  </si>
  <si>
    <t>V8</t>
  </si>
  <si>
    <t>V9</t>
  </si>
  <si>
    <t>Model</t>
  </si>
  <si>
    <t>X1</t>
  </si>
  <si>
    <t>X2</t>
  </si>
  <si>
    <t>X3</t>
  </si>
  <si>
    <t>X4</t>
  </si>
  <si>
    <t>X5</t>
  </si>
  <si>
    <t>X6</t>
  </si>
  <si>
    <t>X7</t>
  </si>
  <si>
    <t>Model=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</si>
</sst>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9" formatCode="#,##0.0000000"/>
    <numFmt numFmtId="172" formatCode="0.000000"/>
    <numFmt numFmtId="174" formatCode="0.00000"/>
    <numFmt numFmtId="181" formatCode="0.0000E+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9" fontId="0" fillId="0" borderId="0" xfId="0" applyNumberFormat="1"/>
    <xf numFmtId="172" fontId="0" fillId="0" borderId="0" xfId="0" applyNumberFormat="1"/>
    <xf numFmtId="174" fontId="0" fillId="0" borderId="0" xfId="0" applyNumberFormat="1"/>
    <xf numFmtId="0" fontId="0" fillId="0" borderId="0" xfId="0" quotePrefix="1"/>
    <xf numFmtId="18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tabSelected="1" topLeftCell="F30" workbookViewId="0">
      <selection activeCell="K40" sqref="K40"/>
    </sheetView>
  </sheetViews>
  <sheetFormatPr defaultRowHeight="14.5" x14ac:dyDescent="0.35"/>
  <cols>
    <col min="2" max="2" width="10.26953125" bestFit="1" customWidth="1"/>
    <col min="3" max="3" width="11.81640625" bestFit="1" customWidth="1"/>
    <col min="4" max="4" width="10.54296875" bestFit="1" customWidth="1"/>
    <col min="5" max="5" width="10.26953125" bestFit="1" customWidth="1"/>
    <col min="6" max="9" width="9" bestFit="1" customWidth="1"/>
    <col min="10" max="10" width="16" bestFit="1" customWidth="1"/>
    <col min="11" max="11" width="12.453125" bestFit="1" customWidth="1"/>
    <col min="14" max="14" width="8.90625" bestFit="1" customWidth="1"/>
    <col min="17" max="17" width="14" bestFit="1" customWidth="1"/>
    <col min="18" max="18" width="17.1796875" customWidth="1"/>
  </cols>
  <sheetData>
    <row r="1" spans="1:10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s="1">
        <v>2.0420529350916001</v>
      </c>
      <c r="C2" s="2">
        <v>1.08546056832317E-4</v>
      </c>
      <c r="D2" s="2">
        <v>1.0898852559444101E-3</v>
      </c>
      <c r="E2" s="2">
        <v>7.6384285306574902E-3</v>
      </c>
      <c r="F2" s="2">
        <v>9.3283710332116895E-4</v>
      </c>
      <c r="G2" s="2">
        <v>1.4401248386836101E-3</v>
      </c>
      <c r="H2" s="2">
        <v>9.9081563699059093E-3</v>
      </c>
      <c r="I2" s="2">
        <v>5.9657860559429602E-4</v>
      </c>
      <c r="J2" s="2">
        <v>-38780371.029979803</v>
      </c>
    </row>
    <row r="3" spans="1:10" x14ac:dyDescent="0.35">
      <c r="A3">
        <v>2</v>
      </c>
      <c r="B3" s="1">
        <v>2.0420532205353301</v>
      </c>
      <c r="C3" s="2">
        <v>1.09136566432973E-4</v>
      </c>
      <c r="D3" s="2">
        <v>1.16688192861467E-3</v>
      </c>
      <c r="E3" s="2">
        <v>7.6261650044763298E-3</v>
      </c>
      <c r="F3" s="2">
        <v>9.0475994318906395E-4</v>
      </c>
      <c r="G3" s="2">
        <v>1.4360617783088999E-3</v>
      </c>
      <c r="H3" s="2">
        <v>9.9583718497374598E-3</v>
      </c>
      <c r="I3" s="2">
        <v>5.50803575603906E-4</v>
      </c>
      <c r="J3" s="2">
        <v>-41255497.2728175</v>
      </c>
    </row>
    <row r="4" spans="1:10" x14ac:dyDescent="0.35">
      <c r="A4">
        <v>3</v>
      </c>
      <c r="B4" s="1">
        <v>2.04205312975742</v>
      </c>
      <c r="C4" s="2">
        <v>1.08942099999936E-4</v>
      </c>
      <c r="D4" s="2">
        <v>1.08709426056711E-3</v>
      </c>
      <c r="E4" s="2">
        <v>7.6526257499539702E-3</v>
      </c>
      <c r="F4" s="2">
        <v>9.1934141714533602E-4</v>
      </c>
      <c r="G4" s="2">
        <v>1.43650922598343E-3</v>
      </c>
      <c r="H4" s="2">
        <v>9.9298193963210397E-3</v>
      </c>
      <c r="I4" s="2">
        <v>5.8542975359886598E-4</v>
      </c>
      <c r="J4" s="2">
        <v>-4045189.9361693002</v>
      </c>
    </row>
    <row r="5" spans="1:10" x14ac:dyDescent="0.35">
      <c r="A5">
        <v>4</v>
      </c>
      <c r="B5" s="1">
        <v>2.0420530625045403</v>
      </c>
      <c r="C5" s="2">
        <v>1.08805121572367E-4</v>
      </c>
      <c r="D5" s="2">
        <v>1.08512887170464E-3</v>
      </c>
      <c r="E5" s="2">
        <v>7.6487984692448297E-3</v>
      </c>
      <c r="F5" s="2">
        <v>9.2431507882203504E-4</v>
      </c>
      <c r="G5" s="2">
        <v>1.4376725264597301E-3</v>
      </c>
      <c r="H5" s="2">
        <v>9.9217512560648407E-3</v>
      </c>
      <c r="I5" s="2">
        <v>5.9044720706430095E-4</v>
      </c>
      <c r="J5" s="2">
        <v>-39870153.4371107</v>
      </c>
    </row>
    <row r="6" spans="1:10" x14ac:dyDescent="0.35">
      <c r="A6">
        <v>5</v>
      </c>
      <c r="B6" s="1">
        <v>2.0420532071676898</v>
      </c>
      <c r="C6" s="2">
        <v>1.0909991199252E-4</v>
      </c>
      <c r="D6" s="2">
        <v>1.10018569815054E-3</v>
      </c>
      <c r="E6" s="2">
        <v>7.6524537906401003E-3</v>
      </c>
      <c r="F6" s="2">
        <v>9.1141154110671E-4</v>
      </c>
      <c r="G6" s="2">
        <v>1.43504941663459E-3</v>
      </c>
      <c r="H6" s="2">
        <v>9.9419313084477892E-3</v>
      </c>
      <c r="I6" s="2">
        <v>5.7466880577564604E-4</v>
      </c>
      <c r="J6" s="2">
        <v>-41164746.925077103</v>
      </c>
    </row>
    <row r="7" spans="1:10" x14ac:dyDescent="0.35">
      <c r="A7">
        <v>6</v>
      </c>
      <c r="B7" s="1">
        <v>2.0420531479002202</v>
      </c>
      <c r="C7" s="2">
        <v>1.08979836866536E-4</v>
      </c>
      <c r="D7" s="2">
        <v>1.0883125931173199E-3</v>
      </c>
      <c r="E7" s="2">
        <v>7.6536144310091498E-3</v>
      </c>
      <c r="F7" s="2">
        <v>9.1836014041892205E-4</v>
      </c>
      <c r="G7" s="2">
        <v>1.43641164677864E-3</v>
      </c>
      <c r="H7" s="2">
        <v>9.9318956514106403E-3</v>
      </c>
      <c r="I7" s="2">
        <v>5.8392720708017097E-4</v>
      </c>
      <c r="J7" s="2">
        <v>-40615792.639933698</v>
      </c>
    </row>
    <row r="8" spans="1:10" x14ac:dyDescent="0.35">
      <c r="A8">
        <v>7</v>
      </c>
      <c r="B8" s="1">
        <v>2.04205389519365</v>
      </c>
      <c r="C8" s="2">
        <v>1.105943302566E-4</v>
      </c>
      <c r="D8" s="2">
        <v>1.3331507910874199E-3</v>
      </c>
      <c r="E8" s="2">
        <v>7.6416226363777602E-3</v>
      </c>
      <c r="F8" s="2">
        <v>9.20899118085523E-4</v>
      </c>
      <c r="G8" s="2">
        <v>1.45367491129817E-3</v>
      </c>
      <c r="H8" s="2">
        <v>1.00263012435956E-2</v>
      </c>
      <c r="I8" s="2">
        <v>5.1453452229663604E-4</v>
      </c>
      <c r="J8" s="2">
        <v>-4394537.3723665997</v>
      </c>
    </row>
    <row r="9" spans="1:10" x14ac:dyDescent="0.35">
      <c r="A9">
        <v>8</v>
      </c>
      <c r="B9" s="1">
        <v>2.0420530697581398</v>
      </c>
      <c r="C9" s="2">
        <v>1.08822591246092E-4</v>
      </c>
      <c r="D9" s="2">
        <v>1.0860919048778499E-3</v>
      </c>
      <c r="E9" s="2">
        <v>7.64981823642478E-3</v>
      </c>
      <c r="F9" s="2">
        <v>9.2550630371508995E-4</v>
      </c>
      <c r="G9" s="2">
        <v>1.43836962115036E-3</v>
      </c>
      <c r="H9" s="2">
        <v>9.9217692004100206E-3</v>
      </c>
      <c r="I9" s="2">
        <v>5.90252246810705E-4</v>
      </c>
      <c r="J9" s="2">
        <v>-39951763.784949198</v>
      </c>
    </row>
    <row r="10" spans="1:10" x14ac:dyDescent="0.35">
      <c r="A10">
        <v>9</v>
      </c>
      <c r="B10" s="1">
        <v>2.0420531615057103</v>
      </c>
      <c r="C10" s="2">
        <v>1.0900690466327601E-4</v>
      </c>
      <c r="D10" s="2">
        <v>1.08992441714155E-3</v>
      </c>
      <c r="E10" s="2">
        <v>7.6536789009762603E-3</v>
      </c>
      <c r="F10" s="2">
        <v>9.16702500213106E-4</v>
      </c>
      <c r="G10" s="2">
        <v>1.43598142603178E-3</v>
      </c>
      <c r="H10" s="2">
        <v>9.9340682292020296E-3</v>
      </c>
      <c r="I10" s="2">
        <v>5.8222698247056501E-4</v>
      </c>
      <c r="J10" s="2">
        <v>-40733453.208065398</v>
      </c>
    </row>
    <row r="11" spans="1:10" x14ac:dyDescent="0.35">
      <c r="A11">
        <v>10</v>
      </c>
      <c r="B11" s="1">
        <v>2.04205322050072</v>
      </c>
      <c r="C11" s="2">
        <v>1.09129948232798E-4</v>
      </c>
      <c r="D11" s="2">
        <v>1.09945667362316E-3</v>
      </c>
      <c r="E11" s="2">
        <v>7.6545414736080902E-3</v>
      </c>
      <c r="F11" s="2">
        <v>9.1238629799029396E-4</v>
      </c>
      <c r="G11" s="2">
        <v>1.4356120802141001E-3</v>
      </c>
      <c r="H11" s="2">
        <v>9.9422697183308203E-3</v>
      </c>
      <c r="I11" s="2">
        <v>5.7470936928428801E-4</v>
      </c>
      <c r="J11" s="2">
        <v>-4129474.0715983999</v>
      </c>
    </row>
    <row r="12" spans="1:10" x14ac:dyDescent="0.35">
      <c r="A12">
        <v>11</v>
      </c>
      <c r="B12" s="1">
        <v>2.0420532423669497</v>
      </c>
      <c r="C12" s="2">
        <v>1.09175714192389E-4</v>
      </c>
      <c r="D12" s="2">
        <v>1.11712996679727E-3</v>
      </c>
      <c r="E12" s="2">
        <v>7.6486620717790997E-3</v>
      </c>
      <c r="F12" s="2">
        <v>9.0752074263284604E-4</v>
      </c>
      <c r="G12" s="2">
        <v>1.4351493804718399E-3</v>
      </c>
      <c r="H12" s="2">
        <v>9.9492298679801708E-3</v>
      </c>
      <c r="I12" s="2">
        <v>5.65115766855909E-4</v>
      </c>
      <c r="J12" s="2">
        <v>-41580647.861054301</v>
      </c>
    </row>
    <row r="13" spans="1:10" x14ac:dyDescent="0.35">
      <c r="A13">
        <v>12</v>
      </c>
      <c r="B13" s="1">
        <v>2.0420532516680101</v>
      </c>
      <c r="C13" s="2">
        <v>1.0920857305283E-4</v>
      </c>
      <c r="D13" s="2">
        <v>1.09294812352508E-3</v>
      </c>
      <c r="E13" s="2">
        <v>7.6645245614889697E-3</v>
      </c>
      <c r="F13" s="2">
        <v>9.2194662893614501E-4</v>
      </c>
      <c r="G13" s="2">
        <v>1.43971464351548E-3</v>
      </c>
      <c r="H13" s="2">
        <v>9.9382999164598102E-3</v>
      </c>
      <c r="I13" s="2">
        <v>5.7948438871845305E-4</v>
      </c>
      <c r="J13" s="2">
        <v>-4165563.4636141001</v>
      </c>
    </row>
    <row r="14" spans="1:10" x14ac:dyDescent="0.35">
      <c r="A14">
        <v>13</v>
      </c>
      <c r="B14" s="1">
        <v>2.04205335899541</v>
      </c>
      <c r="C14" s="2">
        <v>1.0943448607028399E-4</v>
      </c>
      <c r="D14" s="2">
        <v>1.1324641299833499E-3</v>
      </c>
      <c r="E14" s="2">
        <v>7.6563973637302999E-3</v>
      </c>
      <c r="F14" s="2">
        <v>9.0886158813062998E-4</v>
      </c>
      <c r="G14" s="2">
        <v>1.4384975196710299E-3</v>
      </c>
      <c r="H14" s="2">
        <v>9.9593532220746891E-3</v>
      </c>
      <c r="I14" s="2">
        <v>5.5443485697829001E-4</v>
      </c>
      <c r="J14" s="2">
        <v>-42876023.867206402</v>
      </c>
    </row>
    <row r="15" spans="1:10" x14ac:dyDescent="0.35">
      <c r="A15">
        <v>14</v>
      </c>
      <c r="B15" s="1">
        <v>2.0420533906290199</v>
      </c>
      <c r="C15" s="2">
        <v>1.09502110561679E-4</v>
      </c>
      <c r="D15" s="2">
        <v>1.12006379829349E-3</v>
      </c>
      <c r="E15" s="2">
        <v>7.6651919556230998E-3</v>
      </c>
      <c r="F15" s="2">
        <v>9.1196780041805905E-4</v>
      </c>
      <c r="G15" s="2">
        <v>1.43930054982565E-3</v>
      </c>
      <c r="H15" s="2">
        <v>9.9581409530816404E-3</v>
      </c>
      <c r="I15" s="2">
        <v>5.5939544012279299E-4</v>
      </c>
      <c r="J15" s="2">
        <v>-43097241.7621819</v>
      </c>
    </row>
    <row r="16" spans="1:10" x14ac:dyDescent="0.35">
      <c r="A16">
        <v>15</v>
      </c>
      <c r="B16" s="1">
        <v>2.0420535033572702</v>
      </c>
      <c r="C16" s="2">
        <v>1.0976042135783899E-4</v>
      </c>
      <c r="D16" s="2">
        <v>1.1864526007284201E-3</v>
      </c>
      <c r="E16" s="2">
        <v>7.6523215212116798E-3</v>
      </c>
      <c r="F16" s="2">
        <v>9.13094473080726E-4</v>
      </c>
      <c r="G16" s="2">
        <v>1.4440421212321901E-3</v>
      </c>
      <c r="H16" s="2">
        <v>9.9779888755488905E-3</v>
      </c>
      <c r="I16" s="2">
        <v>5.3679107208560604E-4</v>
      </c>
      <c r="J16" s="2">
        <v>-44185371.776427202</v>
      </c>
    </row>
    <row r="17" spans="1:10" x14ac:dyDescent="0.35">
      <c r="A17">
        <v>16</v>
      </c>
      <c r="B17" s="1">
        <v>2.0420536922335599</v>
      </c>
      <c r="C17" s="2">
        <v>1.10168141524396E-4</v>
      </c>
      <c r="D17" s="2">
        <v>1.1799713335741101E-3</v>
      </c>
      <c r="E17" s="2">
        <v>7.6778060017394303E-3</v>
      </c>
      <c r="F17" s="2">
        <v>9.1871080369384497E-4</v>
      </c>
      <c r="G17" s="2">
        <v>1.4486750458103199E-3</v>
      </c>
      <c r="H17" s="2">
        <v>9.9870182926602106E-3</v>
      </c>
      <c r="I17" s="2">
        <v>5.3190964089006303E-4</v>
      </c>
      <c r="J17" s="2">
        <v>-46634872.1097783</v>
      </c>
    </row>
    <row r="18" spans="1:10" x14ac:dyDescent="0.35">
      <c r="A18">
        <v>17</v>
      </c>
      <c r="B18" s="1">
        <v>2.0420531422672701</v>
      </c>
      <c r="C18" s="2">
        <v>1.08974304414436E-4</v>
      </c>
      <c r="D18" s="2">
        <v>1.08781073917984E-3</v>
      </c>
      <c r="E18" s="2">
        <v>7.6553907749281197E-3</v>
      </c>
      <c r="F18" s="2">
        <v>9.2283673788637604E-4</v>
      </c>
      <c r="G18" s="2">
        <v>1.4382810362476199E-3</v>
      </c>
      <c r="H18" s="2">
        <v>9.9289122485454098E-3</v>
      </c>
      <c r="I18" s="2">
        <v>5.8590562588202997E-4</v>
      </c>
      <c r="J18" s="2">
        <v>-40606391.841343798</v>
      </c>
    </row>
    <row r="19" spans="1:10" x14ac:dyDescent="0.35">
      <c r="A19">
        <v>18</v>
      </c>
      <c r="B19" s="1">
        <v>2.0420531021399397</v>
      </c>
      <c r="C19" s="2">
        <v>1.0889391050812001E-4</v>
      </c>
      <c r="D19" s="2">
        <v>1.08804944772263E-3</v>
      </c>
      <c r="E19" s="2">
        <v>7.6531167446314899E-3</v>
      </c>
      <c r="F19" s="2">
        <v>9.2674039357390004E-4</v>
      </c>
      <c r="G19" s="2">
        <v>1.4394814414411599E-3</v>
      </c>
      <c r="H19" s="2">
        <v>9.9237798259718298E-3</v>
      </c>
      <c r="I19" s="2">
        <v>5.8881469820137996E-4</v>
      </c>
      <c r="J19" s="2">
        <v>-40273039.0774047</v>
      </c>
    </row>
    <row r="20" spans="1:10" x14ac:dyDescent="0.35">
      <c r="A20">
        <v>19</v>
      </c>
      <c r="B20" s="1">
        <v>2.0420531158644302</v>
      </c>
      <c r="C20" s="2">
        <v>1.08914102469767E-4</v>
      </c>
      <c r="D20" s="2">
        <v>1.0863224070800401E-3</v>
      </c>
      <c r="E20" s="2">
        <v>7.6520809001746799E-3</v>
      </c>
      <c r="F20" s="2">
        <v>9.2063148771001104E-4</v>
      </c>
      <c r="G20" s="2">
        <v>1.4368378939343699E-3</v>
      </c>
      <c r="H20" s="2">
        <v>9.9279535859081395E-3</v>
      </c>
      <c r="I20" s="2">
        <v>5.8669423331632103E-4</v>
      </c>
      <c r="J20" s="2">
        <v>-40332594.406574696</v>
      </c>
    </row>
    <row r="21" spans="1:10" x14ac:dyDescent="0.35">
      <c r="A21">
        <v>20</v>
      </c>
      <c r="B21" s="1">
        <v>2.0420541007097399</v>
      </c>
      <c r="C21" s="2">
        <v>1.11015058673474E-4</v>
      </c>
      <c r="D21" s="2">
        <v>1.4249944785592601E-3</v>
      </c>
      <c r="E21" s="2">
        <v>7.6296993033417903E-3</v>
      </c>
      <c r="F21" s="2">
        <v>9.2142169510458605E-4</v>
      </c>
      <c r="G21" s="2">
        <v>1.4570297705858699E-3</v>
      </c>
      <c r="H21" s="2">
        <v>1.00537281638225E-2</v>
      </c>
      <c r="I21" s="2">
        <v>5.0700666229671395E-4</v>
      </c>
      <c r="J21" s="2">
        <v>-41682759.003317602</v>
      </c>
    </row>
    <row r="22" spans="1:10" x14ac:dyDescent="0.35">
      <c r="A22">
        <v>21</v>
      </c>
      <c r="B22" s="1">
        <v>2.0420541910597301</v>
      </c>
      <c r="C22" s="2">
        <v>1.11212296994423E-4</v>
      </c>
      <c r="D22" s="2">
        <v>1.4275511881856899E-3</v>
      </c>
      <c r="E22" s="2">
        <v>7.6399443941994804E-3</v>
      </c>
      <c r="F22" s="2">
        <v>9.2504919254202502E-4</v>
      </c>
      <c r="G22" s="2">
        <v>1.4594644241458499E-3</v>
      </c>
      <c r="H22" s="2">
        <v>1.00587071542786E-2</v>
      </c>
      <c r="I22" s="2">
        <v>5.0388168361716404E-4</v>
      </c>
      <c r="J22" s="2">
        <v>-427746.87835080002</v>
      </c>
    </row>
    <row r="23" spans="1:10" x14ac:dyDescent="0.35">
      <c r="A23">
        <v>22</v>
      </c>
      <c r="B23" s="1">
        <v>2.0420532639241999</v>
      </c>
      <c r="C23" s="2">
        <v>1.09232243131574E-4</v>
      </c>
      <c r="D23" s="2">
        <v>1.1878488824049701E-3</v>
      </c>
      <c r="E23" s="2">
        <v>7.6229449399780897E-3</v>
      </c>
      <c r="F23" s="2">
        <v>9.0574999158517504E-4</v>
      </c>
      <c r="G23" s="2">
        <v>1.4375579102438401E-3</v>
      </c>
      <c r="H23" s="2">
        <v>9.9649265041175591E-3</v>
      </c>
      <c r="I23" s="2">
        <v>5.4621959391629703E-4</v>
      </c>
      <c r="J23" s="2">
        <v>-41340820.618468598</v>
      </c>
    </row>
    <row r="24" spans="1:10" x14ac:dyDescent="0.35">
      <c r="A24">
        <v>23</v>
      </c>
      <c r="B24" s="1">
        <v>2.0420537243510397</v>
      </c>
      <c r="C24" s="2">
        <v>1.10212230377935E-4</v>
      </c>
      <c r="D24" s="2">
        <v>1.3434238497229401E-3</v>
      </c>
      <c r="E24" s="2">
        <v>7.6164619143899099E-3</v>
      </c>
      <c r="F24" s="2">
        <v>9.1334622809551903E-4</v>
      </c>
      <c r="G24" s="2">
        <v>1.4485935001168201E-3</v>
      </c>
      <c r="H24" s="2">
        <v>1.00192649433121E-2</v>
      </c>
      <c r="I24" s="2">
        <v>5.2127007209033403E-4</v>
      </c>
      <c r="J24" s="2">
        <v>-41157639.997876197</v>
      </c>
    </row>
    <row r="25" spans="1:10" x14ac:dyDescent="0.35">
      <c r="A25">
        <v>24</v>
      </c>
      <c r="B25" s="1">
        <v>2.0420544025037897</v>
      </c>
      <c r="C25" s="2">
        <v>1.11645615648848E-4</v>
      </c>
      <c r="D25" s="2">
        <v>1.5098364724498499E-3</v>
      </c>
      <c r="E25" s="2">
        <v>7.6323212233531399E-3</v>
      </c>
      <c r="F25" s="2">
        <v>9.2568069611990501E-4</v>
      </c>
      <c r="G25" s="2">
        <v>1.4627617190146099E-3</v>
      </c>
      <c r="H25" s="2">
        <v>1.0084195738426199E-2</v>
      </c>
      <c r="I25" s="2">
        <v>4.9737129751481804E-4</v>
      </c>
      <c r="J25" s="2">
        <v>-40301572.125776701</v>
      </c>
    </row>
    <row r="26" spans="1:10" x14ac:dyDescent="0.35">
      <c r="A26">
        <v>25</v>
      </c>
      <c r="B26" s="1">
        <v>2.0420544084480401</v>
      </c>
      <c r="C26" s="2">
        <v>1.11662148474592E-4</v>
      </c>
      <c r="D26" s="2">
        <v>1.5006328544353599E-3</v>
      </c>
      <c r="E26" s="2">
        <v>7.6369368135584302E-3</v>
      </c>
      <c r="F26" s="2">
        <v>9.2703373877201802E-4</v>
      </c>
      <c r="G26" s="2">
        <v>1.46324308071703E-3</v>
      </c>
      <c r="H26" s="2">
        <v>1.0082787872673299E-2</v>
      </c>
      <c r="I26" s="2">
        <v>4.9704959799812699E-4</v>
      </c>
      <c r="J26" s="2">
        <v>-41013870.939245299</v>
      </c>
    </row>
    <row r="27" spans="1:10" x14ac:dyDescent="0.35">
      <c r="A27">
        <v>26</v>
      </c>
      <c r="B27" s="1">
        <v>2.0420530385840698</v>
      </c>
      <c r="C27" s="2">
        <v>1.08759543258961E-4</v>
      </c>
      <c r="D27" s="2">
        <v>1.08689104712179E-3</v>
      </c>
      <c r="E27" s="2">
        <v>7.6475520123847401E-3</v>
      </c>
      <c r="F27" s="2">
        <v>9.2791447405754296E-4</v>
      </c>
      <c r="G27" s="2">
        <v>1.43908173207725E-3</v>
      </c>
      <c r="H27" s="2">
        <v>9.9182154258285003E-3</v>
      </c>
      <c r="I27" s="2">
        <v>5.9201547945130699E-4</v>
      </c>
      <c r="J27" s="2">
        <v>-39688277.877017602</v>
      </c>
    </row>
    <row r="28" spans="1:10" x14ac:dyDescent="0.35">
      <c r="A28">
        <v>27</v>
      </c>
      <c r="B28" s="1">
        <v>2.0420535411544498</v>
      </c>
      <c r="C28" s="2">
        <v>1.09838688437742E-4</v>
      </c>
      <c r="D28" s="2">
        <v>1.2434271163475499E-3</v>
      </c>
      <c r="E28" s="2">
        <v>7.6342087825017101E-3</v>
      </c>
      <c r="F28" s="2">
        <v>9.1303593184466098E-4</v>
      </c>
      <c r="G28" s="2">
        <v>1.4452716191060201E-3</v>
      </c>
      <c r="H28" s="2">
        <v>9.9908533999281193E-3</v>
      </c>
      <c r="I28" s="2">
        <v>5.3032957037148199E-4</v>
      </c>
      <c r="J28" s="2">
        <v>-43077819.525563903</v>
      </c>
    </row>
    <row r="29" spans="1:10" x14ac:dyDescent="0.35">
      <c r="A29">
        <v>28</v>
      </c>
      <c r="B29" s="1">
        <v>2.0420535282707801</v>
      </c>
      <c r="C29" s="2">
        <v>1.0980591789117801E-4</v>
      </c>
      <c r="D29" s="2">
        <v>1.26077060706134E-3</v>
      </c>
      <c r="E29" s="2">
        <v>7.6257250636723398E-3</v>
      </c>
      <c r="F29" s="2">
        <v>9.1175441748566201E-4</v>
      </c>
      <c r="G29" s="2">
        <v>1.4447319064388401E-3</v>
      </c>
      <c r="H29" s="2">
        <v>9.9934069165508402E-3</v>
      </c>
      <c r="I29" s="2">
        <v>5.3014571220227696E-4</v>
      </c>
      <c r="J29" s="2">
        <v>-42286002.573260598</v>
      </c>
    </row>
    <row r="30" spans="1:10" x14ac:dyDescent="0.35">
      <c r="A30">
        <v>29</v>
      </c>
      <c r="B30" s="1">
        <v>2.0420536585747202</v>
      </c>
      <c r="C30" s="2">
        <v>1.10092161989097E-4</v>
      </c>
      <c r="D30" s="2">
        <v>1.26746097472849E-3</v>
      </c>
      <c r="E30" s="2">
        <v>7.6389188144314699E-3</v>
      </c>
      <c r="F30" s="2">
        <v>9.1605864322864697E-4</v>
      </c>
      <c r="G30" s="2">
        <v>1.4482715428705199E-3</v>
      </c>
      <c r="H30" s="2">
        <v>1.0001673750510099E-2</v>
      </c>
      <c r="I30" s="2">
        <v>5.2475618362748803E-4</v>
      </c>
      <c r="J30" s="2">
        <v>-43701460.189242497</v>
      </c>
    </row>
    <row r="31" spans="1:10" x14ac:dyDescent="0.35">
      <c r="A31">
        <v>30</v>
      </c>
      <c r="B31" s="1">
        <v>2.0420537691321901</v>
      </c>
      <c r="C31" s="2">
        <v>1.1031805153393999E-4</v>
      </c>
      <c r="D31" s="2">
        <v>1.33004888343909E-3</v>
      </c>
      <c r="E31" s="2">
        <v>7.62733938801819E-3</v>
      </c>
      <c r="F31" s="2">
        <v>9.1623147098714196E-4</v>
      </c>
      <c r="G31" s="2">
        <v>1.4502570514977301E-3</v>
      </c>
      <c r="H31" s="2">
        <v>1.0019165343108699E-2</v>
      </c>
      <c r="I31" s="2">
        <v>5.1919075397621002E-4</v>
      </c>
      <c r="J31" s="2">
        <v>-4239490.6648273999</v>
      </c>
    </row>
    <row r="32" spans="1:10" x14ac:dyDescent="0.35">
      <c r="A32">
        <v>31</v>
      </c>
      <c r="B32" s="1">
        <v>2.0420540762237001</v>
      </c>
      <c r="C32" s="2">
        <v>1.1097458694675E-4</v>
      </c>
      <c r="D32" s="2">
        <v>1.38567647741418E-3</v>
      </c>
      <c r="E32" s="2">
        <v>7.6427718662031296E-3</v>
      </c>
      <c r="F32" s="2">
        <v>9.2402165383525495E-4</v>
      </c>
      <c r="G32" s="2">
        <v>1.45742278110895E-3</v>
      </c>
      <c r="H32" s="2">
        <v>1.00452412080357E-2</v>
      </c>
      <c r="I32" s="2">
        <v>5.07834850332134E-4</v>
      </c>
      <c r="J32" s="2">
        <v>-43652380.775276802</v>
      </c>
    </row>
    <row r="33" spans="1:18" x14ac:dyDescent="0.35">
      <c r="A33">
        <v>32</v>
      </c>
      <c r="B33" s="1">
        <v>2.0420530216007302</v>
      </c>
      <c r="C33" s="2">
        <v>1.0872230179577401E-4</v>
      </c>
      <c r="D33" s="2">
        <v>1.0858704073686801E-3</v>
      </c>
      <c r="E33" s="2">
        <v>7.6458664718762797E-3</v>
      </c>
      <c r="F33" s="2">
        <v>9.2736326319565001E-4</v>
      </c>
      <c r="G33" s="2">
        <v>1.43853994817845E-3</v>
      </c>
      <c r="H33" s="2">
        <v>9.9171077541106902E-3</v>
      </c>
      <c r="I33" s="2">
        <v>5.9279597657880601E-4</v>
      </c>
      <c r="J33" s="2">
        <v>-3952288.1240357999</v>
      </c>
    </row>
    <row r="34" spans="1:18" x14ac:dyDescent="0.35">
      <c r="A34">
        <v>33</v>
      </c>
      <c r="B34" s="1">
        <v>2.04205310827694</v>
      </c>
      <c r="C34" s="2">
        <v>1.08901691357118E-4</v>
      </c>
      <c r="D34" s="2">
        <v>1.0864515800574799E-3</v>
      </c>
      <c r="E34" s="2">
        <v>7.6525043391414901E-3</v>
      </c>
      <c r="F34" s="2">
        <v>9.23168013555163E-4</v>
      </c>
      <c r="G34" s="2">
        <v>1.4378733326321899E-3</v>
      </c>
      <c r="H34" s="2">
        <v>9.9259961760329498E-3</v>
      </c>
      <c r="I34" s="2">
        <v>5.8782103921594005E-4</v>
      </c>
      <c r="J34" s="2">
        <v>-40287555.788272701</v>
      </c>
    </row>
    <row r="35" spans="1:18" x14ac:dyDescent="0.35">
      <c r="A35">
        <v>34</v>
      </c>
      <c r="B35" s="1">
        <v>2.0420529855164102</v>
      </c>
      <c r="C35" s="2">
        <v>1.08650804013121E-4</v>
      </c>
      <c r="D35" s="2">
        <v>1.08862881767667E-3</v>
      </c>
      <c r="E35" s="2">
        <v>7.6430709948939902E-3</v>
      </c>
      <c r="F35" s="2">
        <v>9.3097470472634E-4</v>
      </c>
      <c r="G35" s="2">
        <v>1.4398650065416401E-3</v>
      </c>
      <c r="H35" s="2">
        <v>9.9127905051654107E-3</v>
      </c>
      <c r="I35" s="2">
        <v>5.9449998062378396E-4</v>
      </c>
      <c r="J35" s="2">
        <v>-3922894.7524179001</v>
      </c>
    </row>
    <row r="37" spans="1:18" x14ac:dyDescent="0.35">
      <c r="E37" t="s">
        <v>10</v>
      </c>
      <c r="G37" t="s">
        <v>11</v>
      </c>
      <c r="I37" t="s">
        <v>12</v>
      </c>
      <c r="K37" t="s">
        <v>13</v>
      </c>
      <c r="M37" t="s">
        <v>14</v>
      </c>
      <c r="O37" t="s">
        <v>15</v>
      </c>
      <c r="Q37" t="s">
        <v>16</v>
      </c>
    </row>
    <row r="38" spans="1:18" x14ac:dyDescent="0.35">
      <c r="C38" t="s">
        <v>9</v>
      </c>
      <c r="D38" s="3">
        <f>C2</f>
        <v>1.08546056832317E-4</v>
      </c>
      <c r="E38" s="4">
        <f>0.00109/5.456</f>
        <v>1.9978005865102638E-4</v>
      </c>
      <c r="F38">
        <f>(D2/5.456*(-10.045))</f>
        <v>-2.0065794347436947E-3</v>
      </c>
      <c r="G38" s="4">
        <f>0.00764/3.901</f>
        <v>1.9584721866188156E-3</v>
      </c>
      <c r="H38">
        <f>E2/3.901*(-71.968)</f>
        <v>-0.14091833491267836</v>
      </c>
      <c r="I38" s="4">
        <f>0.00093/0.817</f>
        <v>1.138310893512852E-3</v>
      </c>
      <c r="J38">
        <f>F2/0.817*(-9.247)</f>
        <v>-1.0558071841384149E-2</v>
      </c>
      <c r="K38" s="4">
        <f>0.00144/0.741</f>
        <v>1.9433198380566803E-3</v>
      </c>
      <c r="L38">
        <f>G2/0.741*(-13.241)</f>
        <v>-2.5733728730107531E-2</v>
      </c>
      <c r="M38" s="4">
        <f>0.00991/5.379</f>
        <v>1.8423498791596954E-3</v>
      </c>
      <c r="N38" s="2">
        <f>H2/5.379*(-91.568)</f>
        <v>-0.16866890918006031</v>
      </c>
      <c r="O38" s="4">
        <f>0.0006/1.6</f>
        <v>3.7499999999999995E-4</v>
      </c>
      <c r="P38">
        <f>I2/1.6*(-4.966)</f>
        <v>-1.8516308471132963E-3</v>
      </c>
      <c r="Q38" s="4">
        <f>-0.000000388/51570.006</f>
        <v>-7.5237532452487977E-12</v>
      </c>
      <c r="R38" s="5">
        <f>0.000000388/51570.006*(-66890.673)</f>
        <v>-5.0326891806062609E-7</v>
      </c>
    </row>
    <row r="39" spans="1:18" x14ac:dyDescent="0.35">
      <c r="C39" t="s">
        <v>17</v>
      </c>
      <c r="D39" s="5">
        <f>D38+F38+H38+J38+L38+N38+P38+R38</f>
        <v>-0.34962921215817311</v>
      </c>
      <c r="E39">
        <f>E38</f>
        <v>1.9978005865102638E-4</v>
      </c>
      <c r="F39">
        <f>G38</f>
        <v>1.9584721866188156E-3</v>
      </c>
      <c r="G39">
        <f>I38</f>
        <v>1.138310893512852E-3</v>
      </c>
      <c r="H39">
        <f>K38</f>
        <v>1.9433198380566803E-3</v>
      </c>
      <c r="I39">
        <f>M38</f>
        <v>1.8423498791596954E-3</v>
      </c>
      <c r="J39">
        <f>O38</f>
        <v>3.7499999999999995E-4</v>
      </c>
      <c r="K39">
        <f>Q38</f>
        <v>-7.5237532452487977E-12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koefisienF1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2023-04-02T08:21:55Z</dcterms:created>
  <dcterms:modified xsi:type="dcterms:W3CDTF">2023-04-02T19:14:27Z</dcterms:modified>
</cp:coreProperties>
</file>